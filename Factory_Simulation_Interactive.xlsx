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Parameter" sheetId="2" state="visible" r:id="rId2"/>
    <sheet name="Quartal 1" sheetId="3" state="visible" r:id="rId3"/>
    <sheet name="Quartal 2" sheetId="4" state="visible" r:id="rId4"/>
    <sheet name="Quartal 3" sheetId="5" state="visible" r:id="rId5"/>
    <sheet name="Quartal 4" sheetId="6" state="visible" r:id="rId6"/>
    <sheet name="Jahresabschlu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b val="1"/>
      <color rgb="002d3748"/>
      <sz val="16"/>
    </font>
    <font>
      <color rgb="00718096"/>
      <sz val="11"/>
    </font>
    <font>
      <b val="1"/>
      <color rgb="00667eea"/>
      <sz val="12"/>
    </font>
    <font>
      <sz val="11"/>
    </font>
    <font>
      <b val="1"/>
      <color rgb="00FFFFFF"/>
    </font>
    <font>
      <b val="1"/>
      <color rgb="00667eea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667eea"/>
        <bgColor rgb="00667eea"/>
      </patternFill>
    </fill>
    <fill>
      <patternFill patternType="solid">
        <fgColor rgb="00fff3cd"/>
        <bgColor rgb="00fff3cd"/>
      </patternFill>
    </fill>
    <fill>
      <patternFill patternType="solid">
        <fgColor rgb="00d4edda"/>
        <b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0" fillId="3" borderId="0" pivotButton="0" quotePrefix="0" xfId="0"/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164" fontId="0" fillId="3" borderId="0" pivotButton="0" quotePrefix="0" xfId="0"/>
    <xf numFmtId="2" fontId="0" fillId="4" borderId="0" pivotButton="0" quotePrefix="0" xfId="0"/>
    <xf numFmtId="0" fontId="8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🏭 Factory Business Simulation - Spielanleitung</t>
        </is>
      </c>
    </row>
    <row r="2">
      <c r="A2" s="2" t="inlineStr">
        <is>
          <t>Planspiel BWL für BDE - WiSe 2025/26</t>
        </is>
      </c>
    </row>
    <row r="4">
      <c r="A4" s="3" t="inlineStr">
        <is>
          <t>📋 Spielziel</t>
        </is>
      </c>
      <c r="B4" s="4" t="inlineStr"/>
    </row>
    <row r="5">
      <c r="A5" s="4" t="inlineStr"/>
      <c r="B5" s="4" t="inlineStr">
        <is>
          <t>Führen Sie Ihre Fabrik ein Jahr lang (4 Quartale) und maximieren Sie den Gewinn.</t>
        </is>
      </c>
    </row>
    <row r="6">
      <c r="A6" s="4" t="inlineStr"/>
      <c r="B6" s="4" t="inlineStr"/>
    </row>
    <row r="7">
      <c r="A7" s="3" t="inlineStr">
        <is>
          <t>🎮 Wie zu spielen</t>
        </is>
      </c>
      <c r="B7" s="4" t="inlineStr"/>
    </row>
    <row r="8">
      <c r="A8" s="4" t="inlineStr">
        <is>
          <t>1.</t>
        </is>
      </c>
      <c r="B8" s="4" t="inlineStr">
        <is>
          <t>Gehen Sie zu 'Quartal 1' Tabellenblatt</t>
        </is>
      </c>
    </row>
    <row r="9">
      <c r="A9" s="4" t="inlineStr">
        <is>
          <t>2.</t>
        </is>
      </c>
      <c r="B9" s="4" t="inlineStr">
        <is>
          <t>Geben Sie Ihre Entscheidungen in GELB markierte Felder ein:</t>
        </is>
      </c>
    </row>
    <row r="10">
      <c r="A10" s="4" t="inlineStr"/>
      <c r="B10" s="4" t="inlineStr">
        <is>
          <t xml:space="preserve">   • Verkaufspreis (M pro Einheit)</t>
        </is>
      </c>
    </row>
    <row r="11">
      <c r="A11" s="4" t="inlineStr"/>
      <c r="B11" s="4" t="inlineStr">
        <is>
          <t xml:space="preserve">   • Marketing-Budget (M)</t>
        </is>
      </c>
    </row>
    <row r="12">
      <c r="A12" s="4" t="inlineStr"/>
      <c r="B12" s="4" t="inlineStr">
        <is>
          <t xml:space="preserve">   • Produktionsmenge (Lose)</t>
        </is>
      </c>
    </row>
    <row r="13">
      <c r="A13" s="4" t="inlineStr"/>
      <c r="B13" s="4" t="inlineStr">
        <is>
          <t xml:space="preserve">   • Materialpreis-Faktor (1.0 = normal)</t>
        </is>
      </c>
    </row>
    <row r="14">
      <c r="A14" s="4" t="inlineStr">
        <is>
          <t>3.</t>
        </is>
      </c>
      <c r="B14" s="4" t="inlineStr">
        <is>
          <t>Ergebnisse werden automatisch in GRÜNEN Feldern berechnet</t>
        </is>
      </c>
    </row>
    <row r="15">
      <c r="A15" s="4" t="inlineStr">
        <is>
          <t>4.</t>
        </is>
      </c>
      <c r="B15" s="4" t="inlineStr">
        <is>
          <t>Wiederholen Sie für Quartale 2, 3 und 4</t>
        </is>
      </c>
    </row>
    <row r="16">
      <c r="A16" s="4" t="inlineStr">
        <is>
          <t>5.</t>
        </is>
      </c>
      <c r="B16" s="4" t="inlineStr">
        <is>
          <t>Prüfen Sie 'Jahresabschluss' für Gesamtergebnis</t>
        </is>
      </c>
    </row>
    <row r="17">
      <c r="A17" s="4" t="inlineStr"/>
      <c r="B17" s="4" t="inlineStr"/>
    </row>
    <row r="18">
      <c r="A18" s="3" t="inlineStr">
        <is>
          <t>💡 Entscheidungen</t>
        </is>
      </c>
      <c r="B18" s="4" t="inlineStr"/>
    </row>
    <row r="19">
      <c r="A19" s="3" t="inlineStr">
        <is>
          <t>Verkaufspreis:</t>
        </is>
      </c>
      <c r="B19" s="4" t="inlineStr">
        <is>
          <t>Höher = mehr Gewinn/Einheit, ABER weniger Nachfrage</t>
        </is>
      </c>
    </row>
    <row r="20">
      <c r="A20" s="3" t="inlineStr">
        <is>
          <t>Marketing:</t>
        </is>
      </c>
      <c r="B20" s="4" t="inlineStr">
        <is>
          <t>Mehr Budget = höhere Nachfrage</t>
        </is>
      </c>
    </row>
    <row r="21">
      <c r="A21" s="3" t="inlineStr">
        <is>
          <t>Produktion:</t>
        </is>
      </c>
      <c r="B21" s="4" t="inlineStr">
        <is>
          <t>Mehr Lose = können mehr verkaufen (wenn Nachfrage da ist)</t>
        </is>
      </c>
    </row>
    <row r="22">
      <c r="A22" s="3" t="inlineStr">
        <is>
          <t>Materialfaktor:</t>
        </is>
      </c>
      <c r="B22" s="4" t="inlineStr">
        <is>
          <t>Simuliert Marktpreisschwankungen</t>
        </is>
      </c>
    </row>
    <row r="23">
      <c r="A23" s="4" t="inlineStr"/>
      <c r="B23" s="4" t="inlineStr"/>
    </row>
    <row r="24">
      <c r="A24" s="3" t="inlineStr">
        <is>
          <t>📊 Anfangsbestand</t>
        </is>
      </c>
      <c r="B24" s="4" t="inlineStr"/>
    </row>
    <row r="25">
      <c r="A25" s="3" t="inlineStr">
        <is>
          <t>Kasse:</t>
        </is>
      </c>
      <c r="B25" s="4" t="inlineStr">
        <is>
          <t>28.0 M</t>
        </is>
      </c>
    </row>
    <row r="26">
      <c r="A26" s="3" t="inlineStr">
        <is>
          <t>Forderungen:</t>
        </is>
      </c>
      <c r="B26" s="4" t="inlineStr">
        <is>
          <t>26.0 M</t>
        </is>
      </c>
    </row>
    <row r="27">
      <c r="A27" s="3" t="inlineStr">
        <is>
          <t>Rohmaterial:</t>
        </is>
      </c>
      <c r="B27" s="4" t="inlineStr">
        <is>
          <t>2 Lose</t>
        </is>
      </c>
    </row>
    <row r="28">
      <c r="A28" s="3" t="inlineStr">
        <is>
          <t>Halbfertigware:</t>
        </is>
      </c>
      <c r="B28" s="4" t="inlineStr">
        <is>
          <t>2 Lose</t>
        </is>
      </c>
    </row>
    <row r="29">
      <c r="A29" s="3" t="inlineStr">
        <is>
          <t>Fertigware:</t>
        </is>
      </c>
      <c r="B29" s="4" t="inlineStr">
        <is>
          <t>2 Lose</t>
        </is>
      </c>
    </row>
    <row r="30">
      <c r="A30" s="4" t="inlineStr"/>
      <c r="B30" s="4" t="inlineStr"/>
    </row>
    <row r="31">
      <c r="A31" s="3" t="inlineStr">
        <is>
          <t>🎯 Erfolgsbewertung</t>
        </is>
      </c>
      <c r="B31" s="4" t="inlineStr"/>
    </row>
    <row r="32">
      <c r="A32" s="3" t="inlineStr">
        <is>
          <t>Sehr gut:</t>
        </is>
      </c>
      <c r="B32" s="4" t="inlineStr">
        <is>
          <t>Nettogewinn &gt; 30 M, Umsatzrendite &gt; 20%</t>
        </is>
      </c>
    </row>
    <row r="33">
      <c r="A33" s="3" t="inlineStr">
        <is>
          <t>Gut:</t>
        </is>
      </c>
      <c r="B33" s="4" t="inlineStr">
        <is>
          <t>Nettogewinn 15-30 M, Umsatzrendite 10-20%</t>
        </is>
      </c>
    </row>
    <row r="34">
      <c r="A34" s="3" t="inlineStr">
        <is>
          <t>Befriedigend:</t>
        </is>
      </c>
      <c r="B34" s="4" t="inlineStr">
        <is>
          <t>Nettogewinn 5-15 M, Umsatzrendite 5-10%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5" t="inlineStr">
        <is>
          <t>Parameter</t>
        </is>
      </c>
      <c r="B1" s="5" t="inlineStr">
        <is>
          <t>Wert</t>
        </is>
      </c>
      <c r="C1" s="5" t="inlineStr">
        <is>
          <t>Einheit</t>
        </is>
      </c>
    </row>
    <row r="2">
      <c r="A2" t="inlineStr">
        <is>
          <t>Basis Verkaufspreis</t>
        </is>
      </c>
      <c r="B2" s="6" t="n">
        <v>13</v>
      </c>
      <c r="C2" t="inlineStr">
        <is>
          <t>M/Einheit</t>
        </is>
      </c>
    </row>
    <row r="3">
      <c r="A3" t="inlineStr">
        <is>
          <t>Basis Materialpreis</t>
        </is>
      </c>
      <c r="B3" s="6" t="n">
        <v>3</v>
      </c>
      <c r="C3" t="inlineStr">
        <is>
          <t>M/Los</t>
        </is>
      </c>
    </row>
    <row r="4">
      <c r="A4" t="inlineStr">
        <is>
          <t>Basis Fertigungskosten</t>
        </is>
      </c>
      <c r="B4" s="6" t="n">
        <v>3</v>
      </c>
      <c r="C4" t="inlineStr">
        <is>
          <t>M/Los</t>
        </is>
      </c>
    </row>
    <row r="5">
      <c r="A5" t="inlineStr">
        <is>
          <t>Basis Montagekosten</t>
        </is>
      </c>
      <c r="B5" s="6" t="n">
        <v>1</v>
      </c>
      <c r="C5" t="inlineStr">
        <is>
          <t>M/Los</t>
        </is>
      </c>
    </row>
    <row r="6">
      <c r="A6" t="inlineStr">
        <is>
          <t>Basis Gemeinkosten</t>
        </is>
      </c>
      <c r="B6" s="6" t="n">
        <v>6</v>
      </c>
      <c r="C6" t="inlineStr">
        <is>
          <t>M/Quartal</t>
        </is>
      </c>
    </row>
    <row r="7">
      <c r="A7" t="inlineStr">
        <is>
          <t>Preiselastizität</t>
        </is>
      </c>
      <c r="B7" s="6" t="n">
        <v>0.15</v>
      </c>
      <c r="C7" t="inlineStr">
        <is>
          <t>Faktor</t>
        </is>
      </c>
    </row>
    <row r="8">
      <c r="A8" t="inlineStr">
        <is>
          <t>Marketing-Effektivität</t>
        </is>
      </c>
      <c r="B8" s="6" t="n">
        <v>0.08</v>
      </c>
      <c r="C8" t="inlineStr">
        <is>
          <t>Faktor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7" t="inlineStr">
        <is>
          <t>Quartal 1</t>
        </is>
      </c>
    </row>
    <row r="3">
      <c r="A3" s="8" t="inlineStr">
        <is>
          <t>📝 IHRE ENTSCHEIDUNGEN (Gelb = Eingabe)</t>
        </is>
      </c>
    </row>
    <row r="4">
      <c r="A4" t="inlineStr">
        <is>
          <t>Verkaufspreis (M/Einheit)</t>
        </is>
      </c>
    </row>
    <row r="5">
      <c r="A5" t="inlineStr">
        <is>
          <t>Marketing-Budget (M)</t>
        </is>
      </c>
      <c r="B5" s="9" t="n">
        <v>13</v>
      </c>
    </row>
    <row r="6">
      <c r="A6" t="inlineStr">
        <is>
          <t>Produktionsmenge (Lose)</t>
        </is>
      </c>
      <c r="B6" s="9" t="n">
        <v>0</v>
      </c>
    </row>
    <row r="7">
      <c r="A7" t="inlineStr">
        <is>
          <t>Materialpreis-Faktor</t>
        </is>
      </c>
      <c r="B7" s="9" t="n">
        <v>2</v>
      </c>
    </row>
    <row r="8">
      <c r="B8" s="9" t="n">
        <v>1</v>
      </c>
    </row>
    <row r="10">
      <c r="A10" s="8" t="inlineStr">
        <is>
          <t>📊 ERGEBNISSE (Grün = Automatisch berechnet)</t>
        </is>
      </c>
    </row>
    <row r="11">
      <c r="A11" t="inlineStr">
        <is>
          <t>Nachfrage (Lose)</t>
        </is>
      </c>
    </row>
    <row r="12">
      <c r="A12" t="inlineStr">
        <is>
          <t>Absatz (Lose)</t>
        </is>
      </c>
      <c r="B12" s="10">
        <f>2</f>
        <v/>
      </c>
    </row>
    <row r="13">
      <c r="A13" t="inlineStr">
        <is>
          <t>Umsatz (M)</t>
        </is>
      </c>
      <c r="B13" s="10">
        <f>MIN(B12,2)</f>
        <v/>
      </c>
    </row>
    <row r="14">
      <c r="A14" t="inlineStr">
        <is>
          <t>Materialkosten (M)</t>
        </is>
      </c>
      <c r="B14" s="10">
        <f>B5*B13</f>
        <v/>
      </c>
    </row>
    <row r="15">
      <c r="A15" t="inlineStr">
        <is>
          <t>Fertigungskosten (M)</t>
        </is>
      </c>
      <c r="B15" s="10">
        <f>3*B7*B8</f>
        <v/>
      </c>
    </row>
    <row r="16">
      <c r="A16" t="inlineStr">
        <is>
          <t>Montagekosten (M)</t>
        </is>
      </c>
      <c r="B16" s="10">
        <f>3*B7</f>
        <v/>
      </c>
    </row>
    <row r="17">
      <c r="A17" t="inlineStr">
        <is>
          <t>Gemeinkosten (M)</t>
        </is>
      </c>
      <c r="B17" s="10">
        <f>1*B7</f>
        <v/>
      </c>
    </row>
    <row r="18">
      <c r="A18" t="inlineStr">
        <is>
          <t>Marketingkosten (M)</t>
        </is>
      </c>
      <c r="B18" s="10">
        <f>6</f>
        <v/>
      </c>
    </row>
    <row r="19">
      <c r="A19" t="inlineStr">
        <is>
          <t>Gesamtkosten (M)</t>
        </is>
      </c>
      <c r="B19" s="10">
        <f>B6</f>
        <v/>
      </c>
    </row>
    <row r="20">
      <c r="A20" t="inlineStr">
        <is>
          <t>Nettogewinn (M)</t>
        </is>
      </c>
      <c r="B20" s="10">
        <f>SUM(B15:B19)</f>
        <v/>
      </c>
    </row>
    <row r="21">
      <c r="B21" s="10">
        <f>B14-B20</f>
        <v/>
      </c>
    </row>
    <row r="23">
      <c r="A23" s="8" t="inlineStr">
        <is>
          <t>💰 CASH FLOW</t>
        </is>
      </c>
    </row>
    <row r="24">
      <c r="A24" t="inlineStr">
        <is>
          <t>Kasse Anfang</t>
        </is>
      </c>
    </row>
    <row r="25">
      <c r="A25" t="inlineStr">
        <is>
          <t>Kasse Ende</t>
        </is>
      </c>
      <c r="B25" s="10" t="n">
        <v>28</v>
      </c>
    </row>
    <row r="26">
      <c r="B26" s="10">
        <f>B25+26-B20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7" t="inlineStr">
        <is>
          <t>Quartal 2</t>
        </is>
      </c>
    </row>
    <row r="3">
      <c r="A3" s="8" t="inlineStr">
        <is>
          <t>📝 IHRE ENTSCHEIDUNGEN (Gelb = Eingabe)</t>
        </is>
      </c>
    </row>
    <row r="4">
      <c r="A4" t="inlineStr">
        <is>
          <t>Verkaufspreis (M/Einheit)</t>
        </is>
      </c>
    </row>
    <row r="5">
      <c r="A5" t="inlineStr">
        <is>
          <t>Marketing-Budget (M)</t>
        </is>
      </c>
      <c r="B5" s="9" t="n">
        <v>13</v>
      </c>
    </row>
    <row r="6">
      <c r="A6" t="inlineStr">
        <is>
          <t>Produktionsmenge (Lose)</t>
        </is>
      </c>
      <c r="B6" s="9" t="n">
        <v>0</v>
      </c>
    </row>
    <row r="7">
      <c r="A7" t="inlineStr">
        <is>
          <t>Materialpreis-Faktor</t>
        </is>
      </c>
      <c r="B7" s="9" t="n">
        <v>2</v>
      </c>
    </row>
    <row r="8">
      <c r="B8" s="9" t="n">
        <v>1</v>
      </c>
    </row>
    <row r="10">
      <c r="A10" s="8" t="inlineStr">
        <is>
          <t>📊 ERGEBNISSE (Grün = Automatisch berechnet)</t>
        </is>
      </c>
    </row>
    <row r="11">
      <c r="A11" t="inlineStr">
        <is>
          <t>Nachfrage (Lose)</t>
        </is>
      </c>
    </row>
    <row r="12">
      <c r="A12" t="inlineStr">
        <is>
          <t>Absatz (Lose)</t>
        </is>
      </c>
      <c r="B12" s="10">
        <f>2</f>
        <v/>
      </c>
    </row>
    <row r="13">
      <c r="A13" t="inlineStr">
        <is>
          <t>Umsatz (M)</t>
        </is>
      </c>
      <c r="B13" s="10">
        <f>MIN(B12,2)</f>
        <v/>
      </c>
    </row>
    <row r="14">
      <c r="A14" t="inlineStr">
        <is>
          <t>Materialkosten (M)</t>
        </is>
      </c>
      <c r="B14" s="10">
        <f>B5*B13</f>
        <v/>
      </c>
    </row>
    <row r="15">
      <c r="A15" t="inlineStr">
        <is>
          <t>Fertigungskosten (M)</t>
        </is>
      </c>
      <c r="B15" s="10">
        <f>3*B7*B8</f>
        <v/>
      </c>
    </row>
    <row r="16">
      <c r="A16" t="inlineStr">
        <is>
          <t>Montagekosten (M)</t>
        </is>
      </c>
      <c r="B16" s="10">
        <f>3*B7</f>
        <v/>
      </c>
    </row>
    <row r="17">
      <c r="A17" t="inlineStr">
        <is>
          <t>Gemeinkosten (M)</t>
        </is>
      </c>
      <c r="B17" s="10">
        <f>1*B7</f>
        <v/>
      </c>
    </row>
    <row r="18">
      <c r="A18" t="inlineStr">
        <is>
          <t>Marketingkosten (M)</t>
        </is>
      </c>
      <c r="B18" s="10">
        <f>6</f>
        <v/>
      </c>
    </row>
    <row r="19">
      <c r="A19" t="inlineStr">
        <is>
          <t>Gesamtkosten (M)</t>
        </is>
      </c>
      <c r="B19" s="10">
        <f>B6</f>
        <v/>
      </c>
    </row>
    <row r="20">
      <c r="A20" t="inlineStr">
        <is>
          <t>Nettogewinn (M)</t>
        </is>
      </c>
      <c r="B20" s="10">
        <f>SUM(B15:B19)</f>
        <v/>
      </c>
    </row>
    <row r="21">
      <c r="B21" s="10">
        <f>B14-B20</f>
        <v/>
      </c>
    </row>
    <row r="23">
      <c r="A23" s="8" t="inlineStr">
        <is>
          <t>💰 CASH FLOW</t>
        </is>
      </c>
    </row>
    <row r="24">
      <c r="A24" t="inlineStr">
        <is>
          <t>Kasse Anfang</t>
        </is>
      </c>
    </row>
    <row r="25">
      <c r="A25" t="inlineStr">
        <is>
          <t>Kasse Ende</t>
        </is>
      </c>
      <c r="B25" s="10">
        <f>'Quartal 1'!B26</f>
        <v/>
      </c>
    </row>
    <row r="26">
      <c r="B26" s="10">
        <f>B25+26-B20</f>
        <v/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7" t="inlineStr">
        <is>
          <t>Quartal 3</t>
        </is>
      </c>
    </row>
    <row r="3">
      <c r="A3" s="8" t="inlineStr">
        <is>
          <t>📝 IHRE ENTSCHEIDUNGEN (Gelb = Eingabe)</t>
        </is>
      </c>
    </row>
    <row r="4">
      <c r="A4" t="inlineStr">
        <is>
          <t>Verkaufspreis (M/Einheit)</t>
        </is>
      </c>
    </row>
    <row r="5">
      <c r="A5" t="inlineStr">
        <is>
          <t>Marketing-Budget (M)</t>
        </is>
      </c>
      <c r="B5" s="9" t="n">
        <v>13</v>
      </c>
    </row>
    <row r="6">
      <c r="A6" t="inlineStr">
        <is>
          <t>Produktionsmenge (Lose)</t>
        </is>
      </c>
      <c r="B6" s="9" t="n">
        <v>0</v>
      </c>
    </row>
    <row r="7">
      <c r="A7" t="inlineStr">
        <is>
          <t>Materialpreis-Faktor</t>
        </is>
      </c>
      <c r="B7" s="9" t="n">
        <v>2</v>
      </c>
    </row>
    <row r="8">
      <c r="B8" s="9" t="n">
        <v>1</v>
      </c>
    </row>
    <row r="10">
      <c r="A10" s="8" t="inlineStr">
        <is>
          <t>📊 ERGEBNISSE (Grün = Automatisch berechnet)</t>
        </is>
      </c>
    </row>
    <row r="11">
      <c r="A11" t="inlineStr">
        <is>
          <t>Nachfrage (Lose)</t>
        </is>
      </c>
    </row>
    <row r="12">
      <c r="A12" t="inlineStr">
        <is>
          <t>Absatz (Lose)</t>
        </is>
      </c>
      <c r="B12" s="10">
        <f>2</f>
        <v/>
      </c>
    </row>
    <row r="13">
      <c r="A13" t="inlineStr">
        <is>
          <t>Umsatz (M)</t>
        </is>
      </c>
      <c r="B13" s="10">
        <f>MIN(B12,2)</f>
        <v/>
      </c>
    </row>
    <row r="14">
      <c r="A14" t="inlineStr">
        <is>
          <t>Materialkosten (M)</t>
        </is>
      </c>
      <c r="B14" s="10">
        <f>B5*B13</f>
        <v/>
      </c>
    </row>
    <row r="15">
      <c r="A15" t="inlineStr">
        <is>
          <t>Fertigungskosten (M)</t>
        </is>
      </c>
      <c r="B15" s="10">
        <f>3*B7*B8</f>
        <v/>
      </c>
    </row>
    <row r="16">
      <c r="A16" t="inlineStr">
        <is>
          <t>Montagekosten (M)</t>
        </is>
      </c>
      <c r="B16" s="10">
        <f>3*B7</f>
        <v/>
      </c>
    </row>
    <row r="17">
      <c r="A17" t="inlineStr">
        <is>
          <t>Gemeinkosten (M)</t>
        </is>
      </c>
      <c r="B17" s="10">
        <f>1*B7</f>
        <v/>
      </c>
    </row>
    <row r="18">
      <c r="A18" t="inlineStr">
        <is>
          <t>Marketingkosten (M)</t>
        </is>
      </c>
      <c r="B18" s="10">
        <f>6</f>
        <v/>
      </c>
    </row>
    <row r="19">
      <c r="A19" t="inlineStr">
        <is>
          <t>Gesamtkosten (M)</t>
        </is>
      </c>
      <c r="B19" s="10">
        <f>B6</f>
        <v/>
      </c>
    </row>
    <row r="20">
      <c r="A20" t="inlineStr">
        <is>
          <t>Nettogewinn (M)</t>
        </is>
      </c>
      <c r="B20" s="10">
        <f>SUM(B15:B19)</f>
        <v/>
      </c>
    </row>
    <row r="21">
      <c r="B21" s="10">
        <f>B14-B20</f>
        <v/>
      </c>
    </row>
    <row r="23">
      <c r="A23" s="8" t="inlineStr">
        <is>
          <t>💰 CASH FLOW</t>
        </is>
      </c>
    </row>
    <row r="24">
      <c r="A24" t="inlineStr">
        <is>
          <t>Kasse Anfang</t>
        </is>
      </c>
    </row>
    <row r="25">
      <c r="A25" t="inlineStr">
        <is>
          <t>Kasse Ende</t>
        </is>
      </c>
      <c r="B25" s="10">
        <f>'Quartal 2'!B26</f>
        <v/>
      </c>
    </row>
    <row r="26">
      <c r="B26" s="10">
        <f>B25+26-B20</f>
        <v/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7" t="inlineStr">
        <is>
          <t>Quartal 4</t>
        </is>
      </c>
    </row>
    <row r="3">
      <c r="A3" s="8" t="inlineStr">
        <is>
          <t>📝 IHRE ENTSCHEIDUNGEN (Gelb = Eingabe)</t>
        </is>
      </c>
    </row>
    <row r="4">
      <c r="A4" t="inlineStr">
        <is>
          <t>Verkaufspreis (M/Einheit)</t>
        </is>
      </c>
    </row>
    <row r="5">
      <c r="A5" t="inlineStr">
        <is>
          <t>Marketing-Budget (M)</t>
        </is>
      </c>
      <c r="B5" s="9" t="n">
        <v>13</v>
      </c>
    </row>
    <row r="6">
      <c r="A6" t="inlineStr">
        <is>
          <t>Produktionsmenge (Lose)</t>
        </is>
      </c>
      <c r="B6" s="9" t="n">
        <v>0</v>
      </c>
    </row>
    <row r="7">
      <c r="A7" t="inlineStr">
        <is>
          <t>Materialpreis-Faktor</t>
        </is>
      </c>
      <c r="B7" s="9" t="n">
        <v>2</v>
      </c>
    </row>
    <row r="8">
      <c r="B8" s="9" t="n">
        <v>1</v>
      </c>
    </row>
    <row r="10">
      <c r="A10" s="8" t="inlineStr">
        <is>
          <t>📊 ERGEBNISSE (Grün = Automatisch berechnet)</t>
        </is>
      </c>
    </row>
    <row r="11">
      <c r="A11" t="inlineStr">
        <is>
          <t>Nachfrage (Lose)</t>
        </is>
      </c>
    </row>
    <row r="12">
      <c r="A12" t="inlineStr">
        <is>
          <t>Absatz (Lose)</t>
        </is>
      </c>
      <c r="B12" s="10">
        <f>2</f>
        <v/>
      </c>
    </row>
    <row r="13">
      <c r="A13" t="inlineStr">
        <is>
          <t>Umsatz (M)</t>
        </is>
      </c>
      <c r="B13" s="10">
        <f>MIN(B12,2)</f>
        <v/>
      </c>
    </row>
    <row r="14">
      <c r="A14" t="inlineStr">
        <is>
          <t>Materialkosten (M)</t>
        </is>
      </c>
      <c r="B14" s="10">
        <f>B5*B13</f>
        <v/>
      </c>
    </row>
    <row r="15">
      <c r="A15" t="inlineStr">
        <is>
          <t>Fertigungskosten (M)</t>
        </is>
      </c>
      <c r="B15" s="10">
        <f>3*B7*B8</f>
        <v/>
      </c>
    </row>
    <row r="16">
      <c r="A16" t="inlineStr">
        <is>
          <t>Montagekosten (M)</t>
        </is>
      </c>
      <c r="B16" s="10">
        <f>3*B7</f>
        <v/>
      </c>
    </row>
    <row r="17">
      <c r="A17" t="inlineStr">
        <is>
          <t>Gemeinkosten (M)</t>
        </is>
      </c>
      <c r="B17" s="10">
        <f>1*B7</f>
        <v/>
      </c>
    </row>
    <row r="18">
      <c r="A18" t="inlineStr">
        <is>
          <t>Marketingkosten (M)</t>
        </is>
      </c>
      <c r="B18" s="10">
        <f>6</f>
        <v/>
      </c>
    </row>
    <row r="19">
      <c r="A19" t="inlineStr">
        <is>
          <t>Gesamtkosten (M)</t>
        </is>
      </c>
      <c r="B19" s="10">
        <f>B6</f>
        <v/>
      </c>
    </row>
    <row r="20">
      <c r="A20" t="inlineStr">
        <is>
          <t>Nettogewinn (M)</t>
        </is>
      </c>
      <c r="B20" s="10">
        <f>SUM(B15:B19)</f>
        <v/>
      </c>
    </row>
    <row r="21">
      <c r="B21" s="10">
        <f>B14-B20</f>
        <v/>
      </c>
    </row>
    <row r="23">
      <c r="A23" s="8" t="inlineStr">
        <is>
          <t>💰 CASH FLOW</t>
        </is>
      </c>
    </row>
    <row r="24">
      <c r="A24" t="inlineStr">
        <is>
          <t>Kasse Anfang</t>
        </is>
      </c>
    </row>
    <row r="25">
      <c r="A25" t="inlineStr">
        <is>
          <t>Kasse Ende</t>
        </is>
      </c>
      <c r="B25" s="10">
        <f>'Quartal 3'!B26</f>
        <v/>
      </c>
    </row>
    <row r="26">
      <c r="B26" s="10">
        <f>B25+26-B20</f>
        <v/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📈 Jahresabschluss - Zusammenfassung</t>
        </is>
      </c>
    </row>
    <row r="3">
      <c r="A3" s="8" t="inlineStr">
        <is>
          <t>Kennzahl</t>
        </is>
      </c>
      <c r="B3" s="8" t="inlineStr">
        <is>
          <t>Wert</t>
        </is>
      </c>
    </row>
    <row r="4">
      <c r="A4" t="inlineStr">
        <is>
          <t>Gesamtumsatz</t>
        </is>
      </c>
      <c r="B4" s="10">
        <f>SUM('Quartal 1'!B14,'Quartal 2'!B14,'Quartal 3'!B14,'Quartal 4'!B14)</f>
        <v/>
      </c>
    </row>
    <row r="5">
      <c r="A5" t="inlineStr">
        <is>
          <t>Gesamtkosten</t>
        </is>
      </c>
      <c r="B5" s="10">
        <f>SUM('Quartal 1'!B20,'Quartal 2'!B20,'Quartal 3'!B20,'Quartal 4'!B20)</f>
        <v/>
      </c>
    </row>
    <row r="6">
      <c r="A6" t="inlineStr">
        <is>
          <t>Gesamtgewinn</t>
        </is>
      </c>
      <c r="B6" s="10">
        <f>B4-B5</f>
        <v/>
      </c>
    </row>
    <row r="7">
      <c r="A7" t="inlineStr">
        <is>
          <t>Durchschn. Gewinn/Quartal</t>
        </is>
      </c>
      <c r="B7" s="10">
        <f>B6/4</f>
        <v/>
      </c>
    </row>
    <row r="8">
      <c r="A8" t="inlineStr">
        <is>
          <t>Endbestand Kasse</t>
        </is>
      </c>
      <c r="B8" s="10">
        <f>'Quartal 4'!B26</f>
        <v/>
      </c>
    </row>
    <row r="9">
      <c r="A9" t="inlineStr">
        <is>
          <t>Umsatzrendite (%)</t>
        </is>
      </c>
      <c r="B9" s="10">
        <f>IF(B4&gt;0,B6/B4*100,0)</f>
        <v/>
      </c>
    </row>
    <row r="12">
      <c r="A12" s="8" t="inlineStr">
        <is>
          <t>Quartalsentwicklung</t>
        </is>
      </c>
    </row>
    <row r="13">
      <c r="A13" s="11" t="inlineStr">
        <is>
          <t>Quartal</t>
        </is>
      </c>
      <c r="B13" s="11" t="inlineStr">
        <is>
          <t>Umsatz</t>
        </is>
      </c>
      <c r="C13" s="11" t="inlineStr">
        <is>
          <t>Kosten</t>
        </is>
      </c>
      <c r="D13" s="11" t="inlineStr">
        <is>
          <t>Gewinn</t>
        </is>
      </c>
    </row>
    <row r="14">
      <c r="A14" t="inlineStr">
        <is>
          <t>Q1</t>
        </is>
      </c>
      <c r="B14" s="12">
        <f>'Quartal 1'!B14</f>
        <v/>
      </c>
      <c r="C14" s="12">
        <f>'Quartal 1'!B20</f>
        <v/>
      </c>
      <c r="D14" s="12">
        <f>'Quartal 1'!B21</f>
        <v/>
      </c>
    </row>
    <row r="15">
      <c r="A15" t="inlineStr">
        <is>
          <t>Q2</t>
        </is>
      </c>
      <c r="B15" s="12">
        <f>'Quartal 2'!B14</f>
        <v/>
      </c>
      <c r="C15" s="12">
        <f>'Quartal 2'!B20</f>
        <v/>
      </c>
      <c r="D15" s="12">
        <f>'Quartal 2'!B21</f>
        <v/>
      </c>
    </row>
    <row r="16">
      <c r="A16" t="inlineStr">
        <is>
          <t>Q3</t>
        </is>
      </c>
      <c r="B16" s="12">
        <f>'Quartal 3'!B14</f>
        <v/>
      </c>
      <c r="C16" s="12">
        <f>'Quartal 3'!B20</f>
        <v/>
      </c>
      <c r="D16" s="12">
        <f>'Quartal 3'!B21</f>
        <v/>
      </c>
    </row>
    <row r="17">
      <c r="A17" t="inlineStr">
        <is>
          <t>Q4</t>
        </is>
      </c>
      <c r="B17" s="12">
        <f>'Quartal 4'!B14</f>
        <v/>
      </c>
      <c r="C17" s="12">
        <f>'Quartal 4'!B20</f>
        <v/>
      </c>
      <c r="D17" s="12">
        <f>'Quartal 4'!B21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2025-11-13T02:59:13Z</dcterms:created>
  <dcterms:modified xsi:type="dcterms:W3CDTF">2025-11-13T02:59:13Z</dcterms:modified>
</cp:coreProperties>
</file>