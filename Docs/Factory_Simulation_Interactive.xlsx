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" sheetId="1" state="visible" r:id="rId1"/>
    <sheet xmlns:r="http://schemas.openxmlformats.org/officeDocument/2006/relationships" name="Quartal 1" sheetId="2" state="visible" r:id="rId2"/>
    <sheet xmlns:r="http://schemas.openxmlformats.org/officeDocument/2006/relationships" name="Quartal 2" sheetId="3" state="visible" r:id="rId3"/>
    <sheet xmlns:r="http://schemas.openxmlformats.org/officeDocument/2006/relationships" name="Quartal 3" sheetId="4" state="visible" r:id="rId4"/>
    <sheet xmlns:r="http://schemas.openxmlformats.org/officeDocument/2006/relationships" name="Quartal 4" sheetId="5" state="visible" r:id="rId5"/>
    <sheet xmlns:r="http://schemas.openxmlformats.org/officeDocument/2006/relationships" name="Jahresabschluss" sheetId="6" state="visible" r:id="rId6"/>
    <sheet xmlns:r="http://schemas.openxmlformats.org/officeDocument/2006/relationships" name="Anleit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color rgb="00FFFFFF"/>
      <sz val="12"/>
    </font>
    <font>
      <b val="1"/>
      <color rgb="004472C4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0" borderId="0" pivotButton="0" quotePrefix="0" xfId="0"/>
    <xf numFmtId="2" fontId="0" fillId="0" borderId="0" pivotButton="0" quotePrefix="0" xfId="0"/>
    <xf numFmtId="2" fontId="0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2" fontId="4" fillId="4" borderId="0" pivotButton="0" quotePrefix="0" xfId="0"/>
    <xf numFmtId="0" fontId="4" fillId="0" borderId="0" pivotButton="0" quotePrefix="0" xfId="0"/>
    <xf numFmtId="2" fontId="4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SPIELPARAMETER</t>
        </is>
      </c>
    </row>
    <row r="2">
      <c r="A2" s="2" t="inlineStr"/>
      <c r="B2" s="2" t="inlineStr"/>
      <c r="C2" s="2" t="inlineStr"/>
    </row>
    <row r="3">
      <c r="A3" s="3" t="inlineStr">
        <is>
          <t>Parameter</t>
        </is>
      </c>
      <c r="B3" s="3" t="inlineStr">
        <is>
          <t>Wert</t>
        </is>
      </c>
      <c r="C3" s="3" t="inlineStr">
        <is>
          <t>Einheit</t>
        </is>
      </c>
    </row>
    <row r="4">
      <c r="A4" s="2" t="inlineStr">
        <is>
          <t>Basis Verkaufspreis</t>
        </is>
      </c>
      <c r="B4" s="2" t="n">
        <v>13</v>
      </c>
      <c r="C4" s="2" t="inlineStr">
        <is>
          <t>M/Einheit</t>
        </is>
      </c>
    </row>
    <row r="5">
      <c r="A5" s="2" t="inlineStr">
        <is>
          <t>Basis Materialpreis</t>
        </is>
      </c>
      <c r="B5" s="2" t="n">
        <v>3</v>
      </c>
      <c r="C5" s="2" t="inlineStr">
        <is>
          <t>M/Los</t>
        </is>
      </c>
    </row>
    <row r="6">
      <c r="A6" s="2" t="inlineStr">
        <is>
          <t>Basis Fertigungskosten</t>
        </is>
      </c>
      <c r="B6" s="2" t="n">
        <v>3</v>
      </c>
      <c r="C6" s="2" t="inlineStr">
        <is>
          <t>M/Los</t>
        </is>
      </c>
    </row>
    <row r="7">
      <c r="A7" s="2" t="inlineStr">
        <is>
          <t>Basis Montagekosten</t>
        </is>
      </c>
      <c r="B7" s="2" t="n">
        <v>1</v>
      </c>
      <c r="C7" s="2" t="inlineStr">
        <is>
          <t>M/Los</t>
        </is>
      </c>
    </row>
    <row r="8">
      <c r="A8" s="2" t="inlineStr">
        <is>
          <t>Basis Gemeinkosten</t>
        </is>
      </c>
      <c r="B8" s="2" t="n">
        <v>6</v>
      </c>
      <c r="C8" s="2" t="inlineStr">
        <is>
          <t>M/Quartal</t>
        </is>
      </c>
    </row>
    <row r="9">
      <c r="A9" s="2" t="inlineStr"/>
      <c r="B9" s="2" t="inlineStr"/>
      <c r="C9" s="2" t="inlineStr"/>
    </row>
    <row r="10">
      <c r="A10" s="2" t="inlineStr">
        <is>
          <t>Marktparameter</t>
        </is>
      </c>
      <c r="B10" s="2" t="inlineStr"/>
      <c r="C10" s="2" t="inlineStr"/>
    </row>
    <row r="11">
      <c r="A11" s="2" t="inlineStr">
        <is>
          <t>Basis Nachfrage</t>
        </is>
      </c>
      <c r="B11" s="2" t="n">
        <v>2</v>
      </c>
      <c r="C11" s="2" t="inlineStr">
        <is>
          <t>Lose/Quartal</t>
        </is>
      </c>
    </row>
    <row r="12">
      <c r="A12" s="2" t="inlineStr">
        <is>
          <t>Preiselastizität</t>
        </is>
      </c>
      <c r="B12" s="2" t="n">
        <v>0.15</v>
      </c>
      <c r="C12" s="2" t="inlineStr"/>
    </row>
    <row r="13">
      <c r="A13" s="2" t="inlineStr">
        <is>
          <t>Marketing-Effektivität</t>
        </is>
      </c>
      <c r="B13" s="2" t="n">
        <v>0.08</v>
      </c>
      <c r="C13" s="2" t="inlineStr"/>
    </row>
    <row r="14">
      <c r="A14" s="2" t="inlineStr">
        <is>
          <t>Wettbewerberpreis</t>
        </is>
      </c>
      <c r="B14" s="2" t="n">
        <v>12.5</v>
      </c>
      <c r="C14" s="2" t="inlineStr">
        <is>
          <t>M/Einheit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QUARTAL 1</t>
        </is>
      </c>
    </row>
    <row r="3">
      <c r="A3" s="1" t="inlineStr">
        <is>
          <t>ANFANGSBESTAND</t>
        </is>
      </c>
    </row>
    <row r="4">
      <c r="A4" t="inlineStr">
        <is>
          <t>Kasse</t>
        </is>
      </c>
      <c r="B4" s="5" t="n">
        <v>28</v>
      </c>
    </row>
    <row r="5">
      <c r="A5" t="inlineStr">
        <is>
          <t>Forderungen</t>
        </is>
      </c>
      <c r="B5" s="5" t="n">
        <v>26</v>
      </c>
    </row>
    <row r="6">
      <c r="A6" t="inlineStr">
        <is>
          <t>Rohmaterial (Lose)</t>
        </is>
      </c>
      <c r="B6" t="n">
        <v>2</v>
      </c>
    </row>
    <row r="7">
      <c r="A7" t="inlineStr">
        <is>
          <t>Halbfertigware (Lose)</t>
        </is>
      </c>
      <c r="B7" t="n">
        <v>2</v>
      </c>
    </row>
    <row r="8">
      <c r="A8" t="inlineStr">
        <is>
          <t>Fertigware (Lose)</t>
        </is>
      </c>
      <c r="B8" t="n">
        <v>2</v>
      </c>
    </row>
    <row r="10">
      <c r="A10" s="1" t="inlineStr">
        <is>
          <t>IHRE ENTSCHEIDUNGEN</t>
        </is>
      </c>
    </row>
    <row r="11">
      <c r="A11" t="inlineStr">
        <is>
          <t>Verkaufspreis (M/Einheit)</t>
        </is>
      </c>
      <c r="B11" s="6" t="n">
        <v>13</v>
      </c>
    </row>
    <row r="12">
      <c r="A12" t="inlineStr">
        <is>
          <t>Marketing-Budget (M)</t>
        </is>
      </c>
      <c r="B12" s="6" t="n">
        <v>0</v>
      </c>
    </row>
    <row r="13">
      <c r="A13" t="inlineStr">
        <is>
          <t>Produktionsmenge (Lose)</t>
        </is>
      </c>
      <c r="B13" s="7" t="n">
        <v>2</v>
      </c>
    </row>
    <row r="14">
      <c r="A14" t="inlineStr">
        <is>
          <t>Materialpreis-Faktor</t>
        </is>
      </c>
      <c r="B14" s="6" t="n">
        <v>1</v>
      </c>
    </row>
    <row r="16">
      <c r="A16" s="1" t="inlineStr">
        <is>
          <t>BERECHNUNGEN</t>
        </is>
      </c>
    </row>
    <row r="17">
      <c r="A17" t="inlineStr">
        <is>
          <t>Nachfrage (berechnet, Lose)</t>
        </is>
      </c>
      <c r="B17" s="8">
        <f>MAX(1, ROUND(Parameter!$B$11 * (1 - (B11/Parameter!$B$4 - 1) * Parameter!$B$12) * (1 + B12 * Parameter!$B$13), 0))</f>
        <v/>
      </c>
    </row>
    <row r="18">
      <c r="A18" t="inlineStr">
        <is>
          <t>Verkaufsmenge (Lose)</t>
        </is>
      </c>
      <c r="B18" s="8">
        <f>MIN(B17, B8)</f>
        <v/>
      </c>
    </row>
    <row r="19">
      <c r="A19" t="inlineStr">
        <is>
          <t>Umsatz (M)</t>
        </is>
      </c>
      <c r="B19" s="9">
        <f>B18 * B11</f>
        <v/>
      </c>
    </row>
    <row r="21">
      <c r="A21" s="1" t="inlineStr">
        <is>
          <t>KOSTEN</t>
        </is>
      </c>
    </row>
    <row r="22">
      <c r="A22" t="inlineStr">
        <is>
          <t>Materialkosten (M)</t>
        </is>
      </c>
      <c r="B22" s="9">
        <f>2 * Parameter!$B$5 * B14</f>
        <v/>
      </c>
    </row>
    <row r="23">
      <c r="A23" t="inlineStr">
        <is>
          <t>Fertigungskosten (M)</t>
        </is>
      </c>
      <c r="B23" s="9">
        <f>B13 * Parameter!$B$6</f>
        <v/>
      </c>
    </row>
    <row r="24">
      <c r="A24" t="inlineStr">
        <is>
          <t>Montagekosten (M)</t>
        </is>
      </c>
      <c r="B24" s="9">
        <f>B13 * Parameter!$B$7</f>
        <v/>
      </c>
    </row>
    <row r="25">
      <c r="A25" t="inlineStr">
        <is>
          <t>Gemeinkosten (M)</t>
        </is>
      </c>
      <c r="B25" s="9">
        <f>Parameter!$B$8</f>
        <v/>
      </c>
    </row>
    <row r="26">
      <c r="A26" t="inlineStr">
        <is>
          <t>Marketing (M)</t>
        </is>
      </c>
      <c r="B26" s="9">
        <f>B12</f>
        <v/>
      </c>
    </row>
    <row r="27">
      <c r="A27" t="inlineStr">
        <is>
          <t>Gesamtkosten (M)</t>
        </is>
      </c>
      <c r="B27" s="10">
        <f>SUM(B22:B26)</f>
        <v/>
      </c>
    </row>
    <row r="29">
      <c r="A29" s="1" t="inlineStr">
        <is>
          <t>ERGEBNIS</t>
        </is>
      </c>
    </row>
    <row r="30">
      <c r="A30" t="inlineStr">
        <is>
          <t>Bruttogewinn (M)</t>
        </is>
      </c>
      <c r="B30" s="9">
        <f>B19 - (B22 + B23 + B24)</f>
        <v/>
      </c>
    </row>
    <row r="31">
      <c r="A31" t="inlineStr">
        <is>
          <t>Nettogewinn (M)</t>
        </is>
      </c>
      <c r="B31" s="10">
        <f>B19 - B27</f>
        <v/>
      </c>
    </row>
    <row r="33">
      <c r="A33" s="1" t="inlineStr">
        <is>
          <t>ENDBESTAND</t>
        </is>
      </c>
    </row>
    <row r="34">
      <c r="A34" t="inlineStr">
        <is>
          <t>Kasse (M)</t>
        </is>
      </c>
      <c r="B34" s="9">
        <f>B4 + B5 - B27</f>
        <v/>
      </c>
    </row>
    <row r="35">
      <c r="A35" t="inlineStr">
        <is>
          <t>Forderungen (M)</t>
        </is>
      </c>
      <c r="B35" s="9">
        <f>B19</f>
        <v/>
      </c>
    </row>
    <row r="36">
      <c r="A36" t="inlineStr">
        <is>
          <t>Rohmaterial (Lose)</t>
        </is>
      </c>
      <c r="B36" s="8">
        <f>B6 + 2 - B13</f>
        <v/>
      </c>
    </row>
    <row r="37">
      <c r="A37" t="inlineStr">
        <is>
          <t>Halbfertigware (Lose)</t>
        </is>
      </c>
      <c r="B37" s="8">
        <f>B7 + B13 - B13</f>
        <v/>
      </c>
    </row>
    <row r="38">
      <c r="A38" t="inlineStr">
        <is>
          <t>Fertigware (Lose)</t>
        </is>
      </c>
      <c r="B38" s="8">
        <f>B8 + B13 - B18</f>
        <v/>
      </c>
    </row>
  </sheetData>
  <mergeCells count="7">
    <mergeCell ref="A1:D1"/>
    <mergeCell ref="A21:B21"/>
    <mergeCell ref="A16:B16"/>
    <mergeCell ref="A29:B29"/>
    <mergeCell ref="A33:B33"/>
    <mergeCell ref="A10:B10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QUARTAL 2</t>
        </is>
      </c>
    </row>
    <row r="3">
      <c r="A3" s="1" t="inlineStr">
        <is>
          <t>ANFANGSBESTAND</t>
        </is>
      </c>
    </row>
    <row r="4">
      <c r="A4" t="inlineStr">
        <is>
          <t>Kasse</t>
        </is>
      </c>
      <c r="B4" s="5">
        <f>'Quartal 1'!B34</f>
        <v/>
      </c>
    </row>
    <row r="5">
      <c r="A5" t="inlineStr">
        <is>
          <t>Forderungen</t>
        </is>
      </c>
      <c r="B5" s="5">
        <f>'Quartal 1'!B35</f>
        <v/>
      </c>
    </row>
    <row r="6">
      <c r="A6" t="inlineStr">
        <is>
          <t>Rohmaterial (Lose)</t>
        </is>
      </c>
      <c r="B6">
        <f>'Quartal 1'!B36</f>
        <v/>
      </c>
    </row>
    <row r="7">
      <c r="A7" t="inlineStr">
        <is>
          <t>Halbfertigware (Lose)</t>
        </is>
      </c>
      <c r="B7">
        <f>'Quartal 1'!B37</f>
        <v/>
      </c>
    </row>
    <row r="8">
      <c r="A8" t="inlineStr">
        <is>
          <t>Fertigware (Lose)</t>
        </is>
      </c>
      <c r="B8" t="inlineStr">
        <is>
          <t>'Quartal 1'!B38</t>
        </is>
      </c>
    </row>
    <row r="10">
      <c r="A10" s="1" t="inlineStr">
        <is>
          <t>IHRE ENTSCHEIDUNGEN</t>
        </is>
      </c>
    </row>
    <row r="11">
      <c r="A11" t="inlineStr">
        <is>
          <t>Verkaufspreis (M/Einheit)</t>
        </is>
      </c>
      <c r="B11" s="6" t="n">
        <v>13</v>
      </c>
    </row>
    <row r="12">
      <c r="A12" t="inlineStr">
        <is>
          <t>Marketing-Budget (M)</t>
        </is>
      </c>
      <c r="B12" s="6" t="n">
        <v>0</v>
      </c>
    </row>
    <row r="13">
      <c r="A13" t="inlineStr">
        <is>
          <t>Produktionsmenge (Lose)</t>
        </is>
      </c>
      <c r="B13" s="7" t="n">
        <v>2</v>
      </c>
    </row>
    <row r="14">
      <c r="A14" t="inlineStr">
        <is>
          <t>Materialpreis-Faktor</t>
        </is>
      </c>
      <c r="B14" s="6" t="n">
        <v>1</v>
      </c>
    </row>
    <row r="16">
      <c r="A16" s="1" t="inlineStr">
        <is>
          <t>BERECHNUNGEN</t>
        </is>
      </c>
    </row>
    <row r="17">
      <c r="A17" t="inlineStr">
        <is>
          <t>Nachfrage (berechnet, Lose)</t>
        </is>
      </c>
      <c r="B17" s="8">
        <f>MAX(1, ROUND(Parameter!$B$11 * (1 - (B11/Parameter!$B$4 - 1) * Parameter!$B$12) * (1 + B12 * Parameter!$B$13), 0))</f>
        <v/>
      </c>
    </row>
    <row r="18">
      <c r="A18" t="inlineStr">
        <is>
          <t>Verkaufsmenge (Lose)</t>
        </is>
      </c>
      <c r="B18" s="8">
        <f>MIN(B17, B8)</f>
        <v/>
      </c>
    </row>
    <row r="19">
      <c r="A19" t="inlineStr">
        <is>
          <t>Umsatz (M)</t>
        </is>
      </c>
      <c r="B19" s="9">
        <f>B18 * B11</f>
        <v/>
      </c>
    </row>
    <row r="21">
      <c r="A21" s="1" t="inlineStr">
        <is>
          <t>KOSTEN</t>
        </is>
      </c>
    </row>
    <row r="22">
      <c r="A22" t="inlineStr">
        <is>
          <t>Materialkosten (M)</t>
        </is>
      </c>
      <c r="B22" s="9">
        <f>2 * Parameter!$B$5 * B14</f>
        <v/>
      </c>
    </row>
    <row r="23">
      <c r="A23" t="inlineStr">
        <is>
          <t>Fertigungskosten (M)</t>
        </is>
      </c>
      <c r="B23" s="9">
        <f>B13 * Parameter!$B$6</f>
        <v/>
      </c>
    </row>
    <row r="24">
      <c r="A24" t="inlineStr">
        <is>
          <t>Montagekosten (M)</t>
        </is>
      </c>
      <c r="B24" s="9">
        <f>B13 * Parameter!$B$7</f>
        <v/>
      </c>
    </row>
    <row r="25">
      <c r="A25" t="inlineStr">
        <is>
          <t>Gemeinkosten (M)</t>
        </is>
      </c>
      <c r="B25" s="9">
        <f>Parameter!$B$8</f>
        <v/>
      </c>
    </row>
    <row r="26">
      <c r="A26" t="inlineStr">
        <is>
          <t>Marketing (M)</t>
        </is>
      </c>
      <c r="B26" s="9">
        <f>B12</f>
        <v/>
      </c>
    </row>
    <row r="27">
      <c r="A27" t="inlineStr">
        <is>
          <t>Gesamtkosten (M)</t>
        </is>
      </c>
      <c r="B27" s="10">
        <f>SUM(B22:B26)</f>
        <v/>
      </c>
    </row>
    <row r="29">
      <c r="A29" s="1" t="inlineStr">
        <is>
          <t>ERGEBNIS</t>
        </is>
      </c>
    </row>
    <row r="30">
      <c r="A30" t="inlineStr">
        <is>
          <t>Bruttogewinn (M)</t>
        </is>
      </c>
      <c r="B30" s="9">
        <f>B19 - (B22 + B23 + B24)</f>
        <v/>
      </c>
    </row>
    <row r="31">
      <c r="A31" t="inlineStr">
        <is>
          <t>Nettogewinn (M)</t>
        </is>
      </c>
      <c r="B31" s="10">
        <f>B19 - B27</f>
        <v/>
      </c>
    </row>
    <row r="33">
      <c r="A33" s="1" t="inlineStr">
        <is>
          <t>ENDBESTAND</t>
        </is>
      </c>
    </row>
    <row r="34">
      <c r="A34" t="inlineStr">
        <is>
          <t>Kasse (M)</t>
        </is>
      </c>
      <c r="B34" s="9">
        <f>B4 + B5 - B27</f>
        <v/>
      </c>
    </row>
    <row r="35">
      <c r="A35" t="inlineStr">
        <is>
          <t>Forderungen (M)</t>
        </is>
      </c>
      <c r="B35" s="9">
        <f>B19</f>
        <v/>
      </c>
    </row>
    <row r="36">
      <c r="A36" t="inlineStr">
        <is>
          <t>Rohmaterial (Lose)</t>
        </is>
      </c>
      <c r="B36" s="8">
        <f>B6 + 2 - B13</f>
        <v/>
      </c>
    </row>
    <row r="37">
      <c r="A37" t="inlineStr">
        <is>
          <t>Halbfertigware (Lose)</t>
        </is>
      </c>
      <c r="B37" s="8">
        <f>B7 + B13 - B13</f>
        <v/>
      </c>
    </row>
    <row r="38">
      <c r="A38" t="inlineStr">
        <is>
          <t>Fertigware (Lose)</t>
        </is>
      </c>
      <c r="B38" s="8">
        <f>B8 + B13 - B18</f>
        <v/>
      </c>
    </row>
  </sheetData>
  <mergeCells count="7">
    <mergeCell ref="A1:D1"/>
    <mergeCell ref="A21:B21"/>
    <mergeCell ref="A16:B16"/>
    <mergeCell ref="A29:B29"/>
    <mergeCell ref="A33:B33"/>
    <mergeCell ref="A10:B10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QUARTAL 3</t>
        </is>
      </c>
    </row>
    <row r="3">
      <c r="A3" s="1" t="inlineStr">
        <is>
          <t>ANFANGSBESTAND</t>
        </is>
      </c>
    </row>
    <row r="4">
      <c r="A4" t="inlineStr">
        <is>
          <t>Kasse</t>
        </is>
      </c>
      <c r="B4" s="5">
        <f>'Quartal 2'!B34</f>
        <v/>
      </c>
    </row>
    <row r="5">
      <c r="A5" t="inlineStr">
        <is>
          <t>Forderungen</t>
        </is>
      </c>
      <c r="B5" s="5" t="inlineStr">
        <is>
          <t>'Quartal 2'!B35</t>
        </is>
      </c>
    </row>
    <row r="6">
      <c r="A6" t="inlineStr">
        <is>
          <t>Rohmaterial (Lose)</t>
        </is>
      </c>
      <c r="B6" t="inlineStr">
        <is>
          <t>'Quartal 2'!B36</t>
        </is>
      </c>
    </row>
    <row r="7">
      <c r="A7" t="inlineStr">
        <is>
          <t>Halbfertigware (Lose)</t>
        </is>
      </c>
      <c r="B7" t="inlineStr">
        <is>
          <t>'Quartal 2'!B37</t>
        </is>
      </c>
    </row>
    <row r="8">
      <c r="A8" t="inlineStr">
        <is>
          <t>Fertigware (Lose)</t>
        </is>
      </c>
      <c r="B8" t="inlineStr">
        <is>
          <t>'Quartal 2'!B38</t>
        </is>
      </c>
    </row>
    <row r="10">
      <c r="A10" s="1" t="inlineStr">
        <is>
          <t>IHRE ENTSCHEIDUNGEN</t>
        </is>
      </c>
    </row>
    <row r="11">
      <c r="A11" t="inlineStr">
        <is>
          <t>Verkaufspreis (M/Einheit)</t>
        </is>
      </c>
      <c r="B11" s="6" t="n">
        <v>13</v>
      </c>
    </row>
    <row r="12">
      <c r="A12" t="inlineStr">
        <is>
          <t>Marketing-Budget (M)</t>
        </is>
      </c>
      <c r="B12" s="6" t="n">
        <v>0</v>
      </c>
    </row>
    <row r="13">
      <c r="A13" t="inlineStr">
        <is>
          <t>Produktionsmenge (Lose)</t>
        </is>
      </c>
      <c r="B13" s="7" t="n">
        <v>2</v>
      </c>
    </row>
    <row r="14">
      <c r="A14" t="inlineStr">
        <is>
          <t>Materialpreis-Faktor</t>
        </is>
      </c>
      <c r="B14" s="6" t="n">
        <v>1</v>
      </c>
    </row>
    <row r="16">
      <c r="A16" s="1" t="inlineStr">
        <is>
          <t>BERECHNUNGEN</t>
        </is>
      </c>
    </row>
    <row r="17">
      <c r="A17" t="inlineStr">
        <is>
          <t>Nachfrage (berechnet, Lose)</t>
        </is>
      </c>
      <c r="B17" s="8">
        <f>MAX(1, ROUND(Parameter!$B$11 * (1 - (B11/Parameter!$B$4 - 1) * Parameter!$B$12) * (1 + B12 * Parameter!$B$13), 0))</f>
        <v/>
      </c>
    </row>
    <row r="18">
      <c r="A18" t="inlineStr">
        <is>
          <t>Verkaufsmenge (Lose)</t>
        </is>
      </c>
      <c r="B18" s="8">
        <f>MIN(B17, B8)</f>
        <v/>
      </c>
    </row>
    <row r="19">
      <c r="A19" t="inlineStr">
        <is>
          <t>Umsatz (M)</t>
        </is>
      </c>
      <c r="B19" s="9">
        <f>B18 * B11</f>
        <v/>
      </c>
    </row>
    <row r="21">
      <c r="A21" s="1" t="inlineStr">
        <is>
          <t>KOSTEN</t>
        </is>
      </c>
    </row>
    <row r="22">
      <c r="A22" t="inlineStr">
        <is>
          <t>Materialkosten (M)</t>
        </is>
      </c>
      <c r="B22" s="9">
        <f>2 * Parameter!$B$5 * B14</f>
        <v/>
      </c>
    </row>
    <row r="23">
      <c r="A23" t="inlineStr">
        <is>
          <t>Fertigungskosten (M)</t>
        </is>
      </c>
      <c r="B23" s="9">
        <f>B13 * Parameter!$B$6</f>
        <v/>
      </c>
    </row>
    <row r="24">
      <c r="A24" t="inlineStr">
        <is>
          <t>Montagekosten (M)</t>
        </is>
      </c>
      <c r="B24" s="9">
        <f>B13 * Parameter!$B$7</f>
        <v/>
      </c>
    </row>
    <row r="25">
      <c r="A25" t="inlineStr">
        <is>
          <t>Gemeinkosten (M)</t>
        </is>
      </c>
      <c r="B25" s="9">
        <f>Parameter!$B$8</f>
        <v/>
      </c>
    </row>
    <row r="26">
      <c r="A26" t="inlineStr">
        <is>
          <t>Marketing (M)</t>
        </is>
      </c>
      <c r="B26" s="9">
        <f>B12</f>
        <v/>
      </c>
    </row>
    <row r="27">
      <c r="A27" t="inlineStr">
        <is>
          <t>Gesamtkosten (M)</t>
        </is>
      </c>
      <c r="B27" s="10">
        <f>SUM(B22:B26)</f>
        <v/>
      </c>
    </row>
    <row r="29">
      <c r="A29" s="1" t="inlineStr">
        <is>
          <t>ERGEBNIS</t>
        </is>
      </c>
    </row>
    <row r="30">
      <c r="A30" t="inlineStr">
        <is>
          <t>Bruttogewinn (M)</t>
        </is>
      </c>
      <c r="B30" s="9">
        <f>B19 - (B22 + B23 + B24)</f>
        <v/>
      </c>
    </row>
    <row r="31">
      <c r="A31" t="inlineStr">
        <is>
          <t>Nettogewinn (M)</t>
        </is>
      </c>
      <c r="B31" s="10">
        <f>B19 - B27</f>
        <v/>
      </c>
    </row>
    <row r="33">
      <c r="A33" s="1" t="inlineStr">
        <is>
          <t>ENDBESTAND</t>
        </is>
      </c>
    </row>
    <row r="34">
      <c r="A34" t="inlineStr">
        <is>
          <t>Kasse (M)</t>
        </is>
      </c>
      <c r="B34" s="9">
        <f>B4 + B5 - B27</f>
        <v/>
      </c>
    </row>
    <row r="35">
      <c r="A35" t="inlineStr">
        <is>
          <t>Forderungen (M)</t>
        </is>
      </c>
      <c r="B35" s="9">
        <f>B19</f>
        <v/>
      </c>
    </row>
    <row r="36">
      <c r="A36" t="inlineStr">
        <is>
          <t>Rohmaterial (Lose)</t>
        </is>
      </c>
      <c r="B36" s="8">
        <f>B6 + 2 - B13</f>
        <v/>
      </c>
    </row>
    <row r="37">
      <c r="A37" t="inlineStr">
        <is>
          <t>Halbfertigware (Lose)</t>
        </is>
      </c>
      <c r="B37" s="8">
        <f>B7 + B13 - B13</f>
        <v/>
      </c>
    </row>
    <row r="38">
      <c r="A38" t="inlineStr">
        <is>
          <t>Fertigware (Lose)</t>
        </is>
      </c>
      <c r="B38" s="8">
        <f>B8 + B13 - B18</f>
        <v/>
      </c>
    </row>
  </sheetData>
  <mergeCells count="7">
    <mergeCell ref="A1:D1"/>
    <mergeCell ref="A21:B21"/>
    <mergeCell ref="A16:B16"/>
    <mergeCell ref="A29:B29"/>
    <mergeCell ref="A33:B33"/>
    <mergeCell ref="A10:B10"/>
    <mergeCell ref="A3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QUARTAL 4</t>
        </is>
      </c>
    </row>
    <row r="3">
      <c r="A3" s="1" t="inlineStr">
        <is>
          <t>ANFANGSBESTAND</t>
        </is>
      </c>
    </row>
    <row r="4">
      <c r="A4" t="inlineStr">
        <is>
          <t>Kasse</t>
        </is>
      </c>
      <c r="B4" s="5">
        <f>'Quartal 3'!B34</f>
        <v/>
      </c>
    </row>
    <row r="5">
      <c r="A5" t="inlineStr">
        <is>
          <t>Forderungen</t>
        </is>
      </c>
      <c r="B5" s="5" t="inlineStr">
        <is>
          <t>'Quartal 3'!B35</t>
        </is>
      </c>
    </row>
    <row r="6">
      <c r="A6" t="inlineStr">
        <is>
          <t>Rohmaterial (Lose)</t>
        </is>
      </c>
      <c r="B6" t="inlineStr">
        <is>
          <t>'Quartal 3'!B36</t>
        </is>
      </c>
    </row>
    <row r="7">
      <c r="A7" t="inlineStr">
        <is>
          <t>Halbfertigware (Lose)</t>
        </is>
      </c>
      <c r="B7" t="inlineStr">
        <is>
          <t>'Quartal 3'!B37</t>
        </is>
      </c>
    </row>
    <row r="8">
      <c r="A8" t="inlineStr">
        <is>
          <t>Fertigware (Lose)</t>
        </is>
      </c>
      <c r="B8" t="inlineStr">
        <is>
          <t>'Quartal 3'!B38</t>
        </is>
      </c>
    </row>
    <row r="10">
      <c r="A10" s="1" t="inlineStr">
        <is>
          <t>IHRE ENTSCHEIDUNGEN</t>
        </is>
      </c>
    </row>
    <row r="11">
      <c r="A11" t="inlineStr">
        <is>
          <t>Verkaufspreis (M/Einheit)</t>
        </is>
      </c>
      <c r="B11" s="6" t="n">
        <v>13</v>
      </c>
    </row>
    <row r="12">
      <c r="A12" t="inlineStr">
        <is>
          <t>Marketing-Budget (M)</t>
        </is>
      </c>
      <c r="B12" s="6" t="n">
        <v>0</v>
      </c>
    </row>
    <row r="13">
      <c r="A13" t="inlineStr">
        <is>
          <t>Produktionsmenge (Lose)</t>
        </is>
      </c>
      <c r="B13" s="7" t="n">
        <v>2</v>
      </c>
    </row>
    <row r="14">
      <c r="A14" t="inlineStr">
        <is>
          <t>Materialpreis-Faktor</t>
        </is>
      </c>
      <c r="B14" s="6" t="n">
        <v>1</v>
      </c>
    </row>
    <row r="16">
      <c r="A16" s="1" t="inlineStr">
        <is>
          <t>BERECHNUNGEN</t>
        </is>
      </c>
    </row>
    <row r="17">
      <c r="A17" t="inlineStr">
        <is>
          <t>Nachfrage (berechnet, Lose)</t>
        </is>
      </c>
      <c r="B17" s="8">
        <f>MAX(1, ROUND(Parameter!$B$11 * (1 - (B11/Parameter!$B$4 - 1) * Parameter!$B$12) * (1 + B12 * Parameter!$B$13), 0))</f>
        <v/>
      </c>
    </row>
    <row r="18">
      <c r="A18" t="inlineStr">
        <is>
          <t>Verkaufsmenge (Lose)</t>
        </is>
      </c>
      <c r="B18" s="8">
        <f>MIN(B17, B8)</f>
        <v/>
      </c>
    </row>
    <row r="19">
      <c r="A19" t="inlineStr">
        <is>
          <t>Umsatz (M)</t>
        </is>
      </c>
      <c r="B19" s="9">
        <f>B18 * B11</f>
        <v/>
      </c>
    </row>
    <row r="21">
      <c r="A21" s="1" t="inlineStr">
        <is>
          <t>KOSTEN</t>
        </is>
      </c>
    </row>
    <row r="22">
      <c r="A22" t="inlineStr">
        <is>
          <t>Materialkosten (M)</t>
        </is>
      </c>
      <c r="B22" s="9">
        <f>2 * Parameter!$B$5 * B14</f>
        <v/>
      </c>
    </row>
    <row r="23">
      <c r="A23" t="inlineStr">
        <is>
          <t>Fertigungskosten (M)</t>
        </is>
      </c>
      <c r="B23" s="9">
        <f>B13 * Parameter!$B$6</f>
        <v/>
      </c>
    </row>
    <row r="24">
      <c r="A24" t="inlineStr">
        <is>
          <t>Montagekosten (M)</t>
        </is>
      </c>
      <c r="B24" s="9">
        <f>B13 * Parameter!$B$7</f>
        <v/>
      </c>
    </row>
    <row r="25">
      <c r="A25" t="inlineStr">
        <is>
          <t>Gemeinkosten (M)</t>
        </is>
      </c>
      <c r="B25" s="9">
        <f>Parameter!$B$8</f>
        <v/>
      </c>
    </row>
    <row r="26">
      <c r="A26" t="inlineStr">
        <is>
          <t>Marketing (M)</t>
        </is>
      </c>
      <c r="B26" s="9">
        <f>B12</f>
        <v/>
      </c>
    </row>
    <row r="27">
      <c r="A27" t="inlineStr">
        <is>
          <t>Gesamtkosten (M)</t>
        </is>
      </c>
      <c r="B27" s="10">
        <f>SUM(B22:B26)</f>
        <v/>
      </c>
    </row>
    <row r="29">
      <c r="A29" s="1" t="inlineStr">
        <is>
          <t>ERGEBNIS</t>
        </is>
      </c>
    </row>
    <row r="30">
      <c r="A30" t="inlineStr">
        <is>
          <t>Bruttogewinn (M)</t>
        </is>
      </c>
      <c r="B30" s="9">
        <f>B19 - (B22 + B23 + B24)</f>
        <v/>
      </c>
    </row>
    <row r="31">
      <c r="A31" t="inlineStr">
        <is>
          <t>Nettogewinn (M)</t>
        </is>
      </c>
      <c r="B31" s="10">
        <f>B19 - B27</f>
        <v/>
      </c>
    </row>
    <row r="33">
      <c r="A33" s="1" t="inlineStr">
        <is>
          <t>ENDBESTAND</t>
        </is>
      </c>
    </row>
    <row r="34">
      <c r="A34" t="inlineStr">
        <is>
          <t>Kasse (M)</t>
        </is>
      </c>
      <c r="B34" s="9">
        <f>B4 + B5 - B27</f>
        <v/>
      </c>
    </row>
    <row r="35">
      <c r="A35" t="inlineStr">
        <is>
          <t>Forderungen (M)</t>
        </is>
      </c>
      <c r="B35" s="9">
        <f>B19</f>
        <v/>
      </c>
    </row>
    <row r="36">
      <c r="A36" t="inlineStr">
        <is>
          <t>Rohmaterial (Lose)</t>
        </is>
      </c>
      <c r="B36" s="8">
        <f>B6 + 2 - B13</f>
        <v/>
      </c>
    </row>
    <row r="37">
      <c r="A37" t="inlineStr">
        <is>
          <t>Halbfertigware (Lose)</t>
        </is>
      </c>
      <c r="B37" s="8">
        <f>B7 + B13 - B13</f>
        <v/>
      </c>
    </row>
    <row r="38">
      <c r="A38" t="inlineStr">
        <is>
          <t>Fertigware (Lose)</t>
        </is>
      </c>
      <c r="B38" s="8">
        <f>B8 + B13 - B18</f>
        <v/>
      </c>
    </row>
  </sheetData>
  <mergeCells count="7">
    <mergeCell ref="A1:D1"/>
    <mergeCell ref="A21:B21"/>
    <mergeCell ref="A16:B16"/>
    <mergeCell ref="A29:B29"/>
    <mergeCell ref="A33:B33"/>
    <mergeCell ref="A10:B10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4" t="inlineStr">
        <is>
          <t>JAHRESABSCHLUSS</t>
        </is>
      </c>
    </row>
    <row r="3">
      <c r="A3" s="1" t="inlineStr">
        <is>
          <t>Quartal</t>
        </is>
      </c>
      <c r="B3" s="1" t="inlineStr">
        <is>
          <t>Umsatz (M)</t>
        </is>
      </c>
      <c r="C3" s="1" t="inlineStr">
        <is>
          <t>Kosten (M)</t>
        </is>
      </c>
      <c r="D3" s="1" t="inlineStr">
        <is>
          <t>Gewinn (M)</t>
        </is>
      </c>
    </row>
    <row r="4">
      <c r="A4" t="inlineStr">
        <is>
          <t>1</t>
        </is>
      </c>
      <c r="B4" s="5">
        <f>'Quartal 1'!B19</f>
        <v/>
      </c>
      <c r="C4" s="5">
        <f>'Quartal 1'!B27</f>
        <v/>
      </c>
      <c r="D4" s="5">
        <f>'Quartal 1'!B31</f>
        <v/>
      </c>
    </row>
    <row r="5">
      <c r="A5" t="inlineStr">
        <is>
          <t>2</t>
        </is>
      </c>
      <c r="B5" s="5">
        <f>'Quartal 2'!B19</f>
        <v/>
      </c>
      <c r="C5" s="5">
        <f>'Quartal 2'!B27</f>
        <v/>
      </c>
      <c r="D5" s="5">
        <f>'Quartal 2'!B31</f>
        <v/>
      </c>
    </row>
    <row r="6">
      <c r="A6" t="inlineStr">
        <is>
          <t>3</t>
        </is>
      </c>
      <c r="B6" s="5">
        <f>'Quartal 3'!B19</f>
        <v/>
      </c>
      <c r="C6" s="5">
        <f>'Quartal 3'!B27</f>
        <v/>
      </c>
      <c r="D6" s="5">
        <f>'Quartal 3'!B31</f>
        <v/>
      </c>
    </row>
    <row r="7">
      <c r="A7" t="inlineStr">
        <is>
          <t>4</t>
        </is>
      </c>
      <c r="B7" s="5">
        <f>'Quartal 4'!B19</f>
        <v/>
      </c>
      <c r="C7" s="5">
        <f>'Quartal 4'!B27</f>
        <v/>
      </c>
      <c r="D7" s="5">
        <f>'Quartal 4'!B31</f>
        <v/>
      </c>
    </row>
    <row r="8">
      <c r="A8" s="11" t="inlineStr">
        <is>
          <t>GESAMT</t>
        </is>
      </c>
      <c r="B8" s="12">
        <f>SUM(B4:B7)</f>
        <v/>
      </c>
      <c r="C8" s="12">
        <f>SUM(C4:C7)</f>
        <v/>
      </c>
      <c r="D8" s="12">
        <f>SUM(D4:D7)</f>
        <v/>
      </c>
    </row>
    <row r="10">
      <c r="A10" s="1" t="inlineStr">
        <is>
          <t>KENNZAHLEN</t>
        </is>
      </c>
    </row>
    <row r="11">
      <c r="A11" t="inlineStr">
        <is>
          <t>Durchschn. Gewinn/Quartal</t>
        </is>
      </c>
      <c r="B11" s="5">
        <f>D8/4</f>
        <v/>
      </c>
    </row>
    <row r="12">
      <c r="A12" t="inlineStr">
        <is>
          <t>Umsatzrendite (%)</t>
        </is>
      </c>
      <c r="B12" s="5">
        <f>IF(B8&gt;0, D8/B8*100, 0)</f>
        <v/>
      </c>
    </row>
    <row r="13">
      <c r="A13" t="inlineStr">
        <is>
          <t>Endbestand Kasse</t>
        </is>
      </c>
      <c r="B13" s="5">
        <f>'Quartal 4'!B34</f>
        <v/>
      </c>
    </row>
  </sheetData>
  <mergeCells count="2">
    <mergeCell ref="A1:C1"/>
    <mergeCell ref="A10:B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3" t="inlineStr">
        <is>
          <t>FACTORY BUSINESS SIMULATION - ANLEITUNG</t>
        </is>
      </c>
    </row>
    <row r="2">
      <c r="A2" s="13" t="inlineStr">
        <is>
          <t>Planspiel BWL für BDE - WiSe 2025/26</t>
        </is>
      </c>
    </row>
    <row r="3">
      <c r="A3" t="inlineStr"/>
    </row>
    <row r="4">
      <c r="A4" t="inlineStr">
        <is>
          <t>SPIELABLAUF:</t>
        </is>
      </c>
    </row>
    <row r="5">
      <c r="A5" t="inlineStr">
        <is>
          <t>1. Öffnen Sie das 'Parameter' Tabellenblatt und überprüfen Sie die Grundeinstellungen.</t>
        </is>
      </c>
    </row>
    <row r="6">
      <c r="A6" t="inlineStr">
        <is>
          <t>2. Gehen Sie zu 'Quartal 1' und geben Sie Ihre Entscheidungen ein (gelb markierte Felder):</t>
        </is>
      </c>
    </row>
    <row r="7">
      <c r="A7" t="inlineStr">
        <is>
          <t xml:space="preserve">   - Verkaufspreis</t>
        </is>
      </c>
    </row>
    <row r="8">
      <c r="A8" t="inlineStr">
        <is>
          <t xml:space="preserve">   - Marketing-Budget</t>
        </is>
      </c>
    </row>
    <row r="9">
      <c r="A9" t="inlineStr">
        <is>
          <t xml:space="preserve">   - Produktionsmenge</t>
        </is>
      </c>
    </row>
    <row r="10">
      <c r="A10" t="inlineStr">
        <is>
          <t xml:space="preserve">   - Materialpreis-Faktor (z.B. 1.1 = 10% Preissteigerung)</t>
        </is>
      </c>
    </row>
    <row r="11">
      <c r="A11" t="inlineStr">
        <is>
          <t>3. Die Ergebnisse werden automatisch berechnet (grün markierte Felder).</t>
        </is>
      </c>
    </row>
    <row r="12">
      <c r="A12" t="inlineStr">
        <is>
          <t>4. Wiederholen Sie Schritt 2-3 für Quartale 2, 3 und 4.</t>
        </is>
      </c>
    </row>
    <row r="13">
      <c r="A13" t="inlineStr">
        <is>
          <t>5. Sehen Sie sich den 'Jahresabschluss' an für die Gesamtübersicht.</t>
        </is>
      </c>
    </row>
    <row r="14">
      <c r="A14" t="inlineStr"/>
    </row>
    <row r="15">
      <c r="A15" t="inlineStr">
        <is>
          <t>WICHTIGE FORMELN:</t>
        </is>
      </c>
    </row>
    <row r="16">
      <c r="A16" t="inlineStr">
        <is>
          <t>- Nachfrage wird durch Verkaufspreis und Marketing beeinflusst</t>
        </is>
      </c>
    </row>
    <row r="17">
      <c r="A17" t="inlineStr">
        <is>
          <t>- Höherer Verkaufspreis = geringere Nachfrage (Preiselastizität)</t>
        </is>
      </c>
    </row>
    <row r="18">
      <c r="A18" t="inlineStr">
        <is>
          <t>- Marketing-Budget erhöht die Nachfrage</t>
        </is>
      </c>
    </row>
    <row r="19">
      <c r="A19" t="inlineStr">
        <is>
          <t>- Sie können nur so viel verkaufen wie Sie Fertigware auf Lager haben</t>
        </is>
      </c>
    </row>
    <row r="20">
      <c r="A20" t="inlineStr"/>
    </row>
    <row r="21">
      <c r="A21" t="inlineStr">
        <is>
          <t>STARTWERTE:</t>
        </is>
      </c>
    </row>
    <row r="22">
      <c r="A22" t="inlineStr">
        <is>
          <t>- Kasse: 28 M</t>
        </is>
      </c>
    </row>
    <row r="23">
      <c r="A23" t="inlineStr">
        <is>
          <t>- Forderungen: 26 M</t>
        </is>
      </c>
    </row>
    <row r="24">
      <c r="A24" t="inlineStr">
        <is>
          <t>- Rohmaterial: 2 Lose</t>
        </is>
      </c>
    </row>
    <row r="25">
      <c r="A25" t="inlineStr">
        <is>
          <t>- Halbfertig: 2 Lose</t>
        </is>
      </c>
    </row>
    <row r="26">
      <c r="A26" t="inlineStr">
        <is>
          <t>- Fertigware: 2 Lose</t>
        </is>
      </c>
    </row>
    <row r="27">
      <c r="A27" t="inlineStr"/>
    </row>
    <row r="28">
      <c r="A28" t="inlineStr">
        <is>
          <t>ZIEL:</t>
        </is>
      </c>
    </row>
    <row r="29">
      <c r="A29" t="inlineStr">
        <is>
          <t>Maximieren Sie den Gewinn über 4 Quartale durch geschickte Preis-, Produktions- und Marketingentscheidungen!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2025-11-13T01:17:36Z</dcterms:created>
  <dcterms:modified xmlns:dcterms="http://purl.org/dc/terms/" xmlns:xsi="http://www.w3.org/2001/XMLSchema-instance" xsi:type="dcterms:W3CDTF">2025-11-13T01:17:36Z</dcterms:modified>
</cp:coreProperties>
</file>